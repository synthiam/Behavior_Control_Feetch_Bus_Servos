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Hexadecimal instruction generat" sheetId="2" r:id="rId1"/>
  </sheets>
  <calcPr calcId="144525"/>
</workbook>
</file>

<file path=xl/sharedStrings.xml><?xml version="1.0" encoding="utf-8"?>
<sst xmlns="http://schemas.openxmlformats.org/spreadsheetml/2006/main" count="152" uniqueCount="56">
  <si>
    <t>Turn off lock protection</t>
  </si>
  <si>
    <t>Input range</t>
  </si>
  <si>
    <t>Input control parameters</t>
  </si>
  <si>
    <t>Decimal input</t>
  </si>
  <si>
    <t>SCS</t>
  </si>
  <si>
    <t>ID number</t>
  </si>
  <si>
    <t>0-254</t>
  </si>
  <si>
    <t>Write instruction</t>
  </si>
  <si>
    <t>First address</t>
  </si>
  <si>
    <t>modify ID number</t>
  </si>
  <si>
    <t>0 close</t>
  </si>
  <si>
    <t>1 Open the lock sign</t>
  </si>
  <si>
    <t>Turn off lock protection instruction</t>
  </si>
  <si>
    <t>HEX</t>
  </si>
  <si>
    <t>Header</t>
  </si>
  <si>
    <t>Instruction Packet Data Length</t>
  </si>
  <si>
    <t>Instruction</t>
  </si>
  <si>
    <t>write first address</t>
  </si>
  <si>
    <t>ID data</t>
  </si>
  <si>
    <t>check code</t>
  </si>
  <si>
    <t>Hexadecimal</t>
  </si>
  <si>
    <t>Decimal system</t>
  </si>
  <si>
    <t>Generating hexadecimal instructions</t>
  </si>
  <si>
    <t>Modify ID number</t>
  </si>
  <si>
    <t>Decimal system input</t>
  </si>
  <si>
    <t>write instruction</t>
  </si>
  <si>
    <t xml:space="preserve"> first address</t>
  </si>
  <si>
    <t>Modify ID numbe instruction</t>
  </si>
  <si>
    <t>Current position corrected to 2048</t>
  </si>
  <si>
    <t>STS/SMS</t>
  </si>
  <si>
    <t>SMS</t>
  </si>
  <si>
    <t>open</t>
  </si>
  <si>
    <t>close</t>
  </si>
  <si>
    <t>Median automatic alignment</t>
  </si>
  <si>
    <t>Switching Force Enablation</t>
  </si>
  <si>
    <t>write data</t>
  </si>
  <si>
    <t>SCS/SMS</t>
  </si>
  <si>
    <t>Switching Force Enablation instruction</t>
  </si>
  <si>
    <t>Read data length</t>
  </si>
  <si>
    <t>0-253</t>
  </si>
  <si>
    <t>position</t>
  </si>
  <si>
    <t>0-1023</t>
  </si>
  <si>
    <t>1 setp=220/1024</t>
  </si>
  <si>
    <t>time</t>
  </si>
  <si>
    <t>ms</t>
  </si>
  <si>
    <t>speed</t>
  </si>
  <si>
    <t>setp</t>
  </si>
  <si>
    <t>SCS Serial</t>
  </si>
  <si>
    <t>position high byte</t>
  </si>
  <si>
    <t>position low byte</t>
  </si>
  <si>
    <t>Time high byte</t>
  </si>
  <si>
    <t>Time low byte</t>
  </si>
  <si>
    <t>Speed high byte</t>
  </si>
  <si>
    <t>Speed low byte</t>
  </si>
  <si>
    <t>Read Position Instruction</t>
  </si>
  <si>
    <t>Bytes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</si>
</sst>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3">
    <font>
      <sz val="11"/>
      <color theme="1"/>
      <name val="等线"/>
      <charset val="134"/>
      <scheme val="minor"/>
    </font>
    <font>
      <sz val="10"/>
      <color theme="1"/>
      <name val="Arial"/>
      <charset val="134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51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5" fillId="17" borderId="11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2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4" fillId="6" borderId="6" applyNumberFormat="0" applyAlignment="0" applyProtection="0">
      <alignment vertical="center"/>
    </xf>
    <xf numFmtId="0" fontId="18" fillId="6" borderId="11" applyNumberFormat="0" applyAlignment="0" applyProtection="0">
      <alignment vertical="center"/>
    </xf>
    <xf numFmtId="0" fontId="13" fillId="16" borderId="10" applyNumberFormat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22" fillId="0" borderId="0"/>
    <xf numFmtId="0" fontId="22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0" xfId="49" applyFont="1"/>
    <xf numFmtId="0" fontId="1" fillId="0" borderId="1" xfId="49" applyFont="1" applyBorder="1" applyAlignment="1">
      <alignment horizontal="center"/>
    </xf>
    <xf numFmtId="0" fontId="1" fillId="0" borderId="0" xfId="49" applyFont="1" applyAlignment="1">
      <alignment horizontal="center"/>
    </xf>
    <xf numFmtId="0" fontId="1" fillId="0" borderId="2" xfId="49" applyFont="1" applyBorder="1" applyAlignment="1">
      <alignment horizontal="center"/>
    </xf>
    <xf numFmtId="0" fontId="1" fillId="0" borderId="2" xfId="49" applyFont="1" applyBorder="1" applyAlignment="1">
      <alignment horizontal="right"/>
    </xf>
    <xf numFmtId="0" fontId="1" fillId="2" borderId="2" xfId="49" applyFont="1" applyFill="1" applyBorder="1" applyAlignment="1">
      <alignment horizontal="center"/>
    </xf>
    <xf numFmtId="0" fontId="1" fillId="0" borderId="2" xfId="49" applyFont="1" applyBorder="1" applyAlignment="1">
      <alignment horizontal="center" vertical="center"/>
    </xf>
    <xf numFmtId="0" fontId="1" fillId="0" borderId="3" xfId="49" applyFont="1" applyBorder="1" applyAlignment="1">
      <alignment horizontal="center"/>
    </xf>
    <xf numFmtId="0" fontId="1" fillId="0" borderId="4" xfId="49" applyFont="1" applyBorder="1" applyAlignment="1">
      <alignment horizontal="center"/>
    </xf>
    <xf numFmtId="0" fontId="1" fillId="0" borderId="2" xfId="49" applyFont="1" applyBorder="1"/>
    <xf numFmtId="0" fontId="1" fillId="0" borderId="5" xfId="49" applyFont="1" applyBorder="1" applyAlignment="1">
      <alignment horizontal="center"/>
    </xf>
    <xf numFmtId="0" fontId="1" fillId="0" borderId="0" xfId="49" applyFont="1" applyBorder="1"/>
    <xf numFmtId="0" fontId="1" fillId="0" borderId="0" xfId="49" applyFont="1" applyAlignment="1"/>
    <xf numFmtId="0" fontId="1" fillId="0" borderId="2" xfId="49" applyFont="1" applyBorder="1" applyAlignment="1">
      <alignment horizontal="left"/>
    </xf>
    <xf numFmtId="0" fontId="1" fillId="3" borderId="2" xfId="49" applyFont="1" applyFill="1" applyBorder="1" applyAlignment="1">
      <alignment horizontal="center"/>
    </xf>
    <xf numFmtId="0" fontId="1" fillId="3" borderId="2" xfId="49" applyFont="1" applyFill="1" applyBorder="1" applyAlignment="1">
      <alignment horizontal="center" wrapText="1"/>
    </xf>
    <xf numFmtId="0" fontId="1" fillId="0" borderId="2" xfId="49" applyFont="1" applyBorder="1" applyAlignment="1">
      <alignment horizontal="center" wrapText="1"/>
    </xf>
    <xf numFmtId="0" fontId="1" fillId="0" borderId="2" xfId="49" applyFont="1" applyFill="1" applyBorder="1" applyAlignment="1">
      <alignment horizontal="center" wrapText="1"/>
    </xf>
    <xf numFmtId="0" fontId="1" fillId="0" borderId="2" xfId="49" applyFont="1" applyBorder="1" applyAlignment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P77"/>
  <sheetViews>
    <sheetView tabSelected="1" workbookViewId="0">
      <selection activeCell="I5" sqref="I5"/>
    </sheetView>
  </sheetViews>
  <sheetFormatPr defaultColWidth="9" defaultRowHeight="13.2"/>
  <cols>
    <col min="1" max="2" width="9" style="1"/>
    <col min="3" max="3" width="35.4444444444444" style="1" customWidth="1"/>
    <col min="4" max="5" width="5.77777777777778" style="1" customWidth="1"/>
    <col min="6" max="6" width="23.3333333333333" style="1" customWidth="1"/>
    <col min="7" max="7" width="31.5555555555556" style="1" customWidth="1"/>
    <col min="8" max="8" width="11" style="1" customWidth="1"/>
    <col min="9" max="9" width="20.6666666666667" style="1" customWidth="1"/>
    <col min="10" max="10" width="14.1111111111111" style="1" customWidth="1"/>
    <col min="11" max="11" width="10.6666666666667" style="1" customWidth="1"/>
    <col min="12" max="12" width="11.4444444444444" style="1" customWidth="1"/>
    <col min="13" max="13" width="11.5555555555556" style="1" customWidth="1"/>
    <col min="14" max="14" width="12.3333333333333" style="1" customWidth="1"/>
    <col min="15" max="15" width="12.8888888888889" style="1" customWidth="1"/>
    <col min="16" max="16" width="11.3333333333333" style="1" customWidth="1"/>
    <col min="17" max="17" width="10.6666666666667" style="1" customWidth="1"/>
    <col min="18" max="258" width="9" style="1"/>
    <col min="259" max="259" width="15.4444444444444" style="1" customWidth="1"/>
    <col min="260" max="261" width="5.77777777777778" style="1" customWidth="1"/>
    <col min="262" max="262" width="7.11111111111111" style="1" customWidth="1"/>
    <col min="263" max="263" width="14.1111111111111" style="1" customWidth="1"/>
    <col min="264" max="264" width="9" style="1"/>
    <col min="265" max="265" width="11.4444444444444" style="1" customWidth="1"/>
    <col min="266" max="271" width="10.1111111111111" style="1" customWidth="1"/>
    <col min="272" max="272" width="9.77777777777778" style="1" customWidth="1"/>
    <col min="273" max="514" width="9" style="1"/>
    <col min="515" max="515" width="15.4444444444444" style="1" customWidth="1"/>
    <col min="516" max="517" width="5.77777777777778" style="1" customWidth="1"/>
    <col min="518" max="518" width="7.11111111111111" style="1" customWidth="1"/>
    <col min="519" max="519" width="14.1111111111111" style="1" customWidth="1"/>
    <col min="520" max="520" width="9" style="1"/>
    <col min="521" max="521" width="11.4444444444444" style="1" customWidth="1"/>
    <col min="522" max="527" width="10.1111111111111" style="1" customWidth="1"/>
    <col min="528" max="528" width="9.77777777777778" style="1" customWidth="1"/>
    <col min="529" max="770" width="9" style="1"/>
    <col min="771" max="771" width="15.4444444444444" style="1" customWidth="1"/>
    <col min="772" max="773" width="5.77777777777778" style="1" customWidth="1"/>
    <col min="774" max="774" width="7.11111111111111" style="1" customWidth="1"/>
    <col min="775" max="775" width="14.1111111111111" style="1" customWidth="1"/>
    <col min="776" max="776" width="9" style="1"/>
    <col min="777" max="777" width="11.4444444444444" style="1" customWidth="1"/>
    <col min="778" max="783" width="10.1111111111111" style="1" customWidth="1"/>
    <col min="784" max="784" width="9.77777777777778" style="1" customWidth="1"/>
    <col min="785" max="1026" width="9" style="1"/>
    <col min="1027" max="1027" width="15.4444444444444" style="1" customWidth="1"/>
    <col min="1028" max="1029" width="5.77777777777778" style="1" customWidth="1"/>
    <col min="1030" max="1030" width="7.11111111111111" style="1" customWidth="1"/>
    <col min="1031" max="1031" width="14.1111111111111" style="1" customWidth="1"/>
    <col min="1032" max="1032" width="9" style="1"/>
    <col min="1033" max="1033" width="11.4444444444444" style="1" customWidth="1"/>
    <col min="1034" max="1039" width="10.1111111111111" style="1" customWidth="1"/>
    <col min="1040" max="1040" width="9.77777777777778" style="1" customWidth="1"/>
    <col min="1041" max="1282" width="9" style="1"/>
    <col min="1283" max="1283" width="15.4444444444444" style="1" customWidth="1"/>
    <col min="1284" max="1285" width="5.77777777777778" style="1" customWidth="1"/>
    <col min="1286" max="1286" width="7.11111111111111" style="1" customWidth="1"/>
    <col min="1287" max="1287" width="14.1111111111111" style="1" customWidth="1"/>
    <col min="1288" max="1288" width="9" style="1"/>
    <col min="1289" max="1289" width="11.4444444444444" style="1" customWidth="1"/>
    <col min="1290" max="1295" width="10.1111111111111" style="1" customWidth="1"/>
    <col min="1296" max="1296" width="9.77777777777778" style="1" customWidth="1"/>
    <col min="1297" max="1538" width="9" style="1"/>
    <col min="1539" max="1539" width="15.4444444444444" style="1" customWidth="1"/>
    <col min="1540" max="1541" width="5.77777777777778" style="1" customWidth="1"/>
    <col min="1542" max="1542" width="7.11111111111111" style="1" customWidth="1"/>
    <col min="1543" max="1543" width="14.1111111111111" style="1" customWidth="1"/>
    <col min="1544" max="1544" width="9" style="1"/>
    <col min="1545" max="1545" width="11.4444444444444" style="1" customWidth="1"/>
    <col min="1546" max="1551" width="10.1111111111111" style="1" customWidth="1"/>
    <col min="1552" max="1552" width="9.77777777777778" style="1" customWidth="1"/>
    <col min="1553" max="1794" width="9" style="1"/>
    <col min="1795" max="1795" width="15.4444444444444" style="1" customWidth="1"/>
    <col min="1796" max="1797" width="5.77777777777778" style="1" customWidth="1"/>
    <col min="1798" max="1798" width="7.11111111111111" style="1" customWidth="1"/>
    <col min="1799" max="1799" width="14.1111111111111" style="1" customWidth="1"/>
    <col min="1800" max="1800" width="9" style="1"/>
    <col min="1801" max="1801" width="11.4444444444444" style="1" customWidth="1"/>
    <col min="1802" max="1807" width="10.1111111111111" style="1" customWidth="1"/>
    <col min="1808" max="1808" width="9.77777777777778" style="1" customWidth="1"/>
    <col min="1809" max="2050" width="9" style="1"/>
    <col min="2051" max="2051" width="15.4444444444444" style="1" customWidth="1"/>
    <col min="2052" max="2053" width="5.77777777777778" style="1" customWidth="1"/>
    <col min="2054" max="2054" width="7.11111111111111" style="1" customWidth="1"/>
    <col min="2055" max="2055" width="14.1111111111111" style="1" customWidth="1"/>
    <col min="2056" max="2056" width="9" style="1"/>
    <col min="2057" max="2057" width="11.4444444444444" style="1" customWidth="1"/>
    <col min="2058" max="2063" width="10.1111111111111" style="1" customWidth="1"/>
    <col min="2064" max="2064" width="9.77777777777778" style="1" customWidth="1"/>
    <col min="2065" max="2306" width="9" style="1"/>
    <col min="2307" max="2307" width="15.4444444444444" style="1" customWidth="1"/>
    <col min="2308" max="2309" width="5.77777777777778" style="1" customWidth="1"/>
    <col min="2310" max="2310" width="7.11111111111111" style="1" customWidth="1"/>
    <col min="2311" max="2311" width="14.1111111111111" style="1" customWidth="1"/>
    <col min="2312" max="2312" width="9" style="1"/>
    <col min="2313" max="2313" width="11.4444444444444" style="1" customWidth="1"/>
    <col min="2314" max="2319" width="10.1111111111111" style="1" customWidth="1"/>
    <col min="2320" max="2320" width="9.77777777777778" style="1" customWidth="1"/>
    <col min="2321" max="2562" width="9" style="1"/>
    <col min="2563" max="2563" width="15.4444444444444" style="1" customWidth="1"/>
    <col min="2564" max="2565" width="5.77777777777778" style="1" customWidth="1"/>
    <col min="2566" max="2566" width="7.11111111111111" style="1" customWidth="1"/>
    <col min="2567" max="2567" width="14.1111111111111" style="1" customWidth="1"/>
    <col min="2568" max="2568" width="9" style="1"/>
    <col min="2569" max="2569" width="11.4444444444444" style="1" customWidth="1"/>
    <col min="2570" max="2575" width="10.1111111111111" style="1" customWidth="1"/>
    <col min="2576" max="2576" width="9.77777777777778" style="1" customWidth="1"/>
    <col min="2577" max="2818" width="9" style="1"/>
    <col min="2819" max="2819" width="15.4444444444444" style="1" customWidth="1"/>
    <col min="2820" max="2821" width="5.77777777777778" style="1" customWidth="1"/>
    <col min="2822" max="2822" width="7.11111111111111" style="1" customWidth="1"/>
    <col min="2823" max="2823" width="14.1111111111111" style="1" customWidth="1"/>
    <col min="2824" max="2824" width="9" style="1"/>
    <col min="2825" max="2825" width="11.4444444444444" style="1" customWidth="1"/>
    <col min="2826" max="2831" width="10.1111111111111" style="1" customWidth="1"/>
    <col min="2832" max="2832" width="9.77777777777778" style="1" customWidth="1"/>
    <col min="2833" max="3074" width="9" style="1"/>
    <col min="3075" max="3075" width="15.4444444444444" style="1" customWidth="1"/>
    <col min="3076" max="3077" width="5.77777777777778" style="1" customWidth="1"/>
    <col min="3078" max="3078" width="7.11111111111111" style="1" customWidth="1"/>
    <col min="3079" max="3079" width="14.1111111111111" style="1" customWidth="1"/>
    <col min="3080" max="3080" width="9" style="1"/>
    <col min="3081" max="3081" width="11.4444444444444" style="1" customWidth="1"/>
    <col min="3082" max="3087" width="10.1111111111111" style="1" customWidth="1"/>
    <col min="3088" max="3088" width="9.77777777777778" style="1" customWidth="1"/>
    <col min="3089" max="3330" width="9" style="1"/>
    <col min="3331" max="3331" width="15.4444444444444" style="1" customWidth="1"/>
    <col min="3332" max="3333" width="5.77777777777778" style="1" customWidth="1"/>
    <col min="3334" max="3334" width="7.11111111111111" style="1" customWidth="1"/>
    <col min="3335" max="3335" width="14.1111111111111" style="1" customWidth="1"/>
    <col min="3336" max="3336" width="9" style="1"/>
    <col min="3337" max="3337" width="11.4444444444444" style="1" customWidth="1"/>
    <col min="3338" max="3343" width="10.1111111111111" style="1" customWidth="1"/>
    <col min="3344" max="3344" width="9.77777777777778" style="1" customWidth="1"/>
    <col min="3345" max="3586" width="9" style="1"/>
    <col min="3587" max="3587" width="15.4444444444444" style="1" customWidth="1"/>
    <col min="3588" max="3589" width="5.77777777777778" style="1" customWidth="1"/>
    <col min="3590" max="3590" width="7.11111111111111" style="1" customWidth="1"/>
    <col min="3591" max="3591" width="14.1111111111111" style="1" customWidth="1"/>
    <col min="3592" max="3592" width="9" style="1"/>
    <col min="3593" max="3593" width="11.4444444444444" style="1" customWidth="1"/>
    <col min="3594" max="3599" width="10.1111111111111" style="1" customWidth="1"/>
    <col min="3600" max="3600" width="9.77777777777778" style="1" customWidth="1"/>
    <col min="3601" max="3842" width="9" style="1"/>
    <col min="3843" max="3843" width="15.4444444444444" style="1" customWidth="1"/>
    <col min="3844" max="3845" width="5.77777777777778" style="1" customWidth="1"/>
    <col min="3846" max="3846" width="7.11111111111111" style="1" customWidth="1"/>
    <col min="3847" max="3847" width="14.1111111111111" style="1" customWidth="1"/>
    <col min="3848" max="3848" width="9" style="1"/>
    <col min="3849" max="3849" width="11.4444444444444" style="1" customWidth="1"/>
    <col min="3850" max="3855" width="10.1111111111111" style="1" customWidth="1"/>
    <col min="3856" max="3856" width="9.77777777777778" style="1" customWidth="1"/>
    <col min="3857" max="4098" width="9" style="1"/>
    <col min="4099" max="4099" width="15.4444444444444" style="1" customWidth="1"/>
    <col min="4100" max="4101" width="5.77777777777778" style="1" customWidth="1"/>
    <col min="4102" max="4102" width="7.11111111111111" style="1" customWidth="1"/>
    <col min="4103" max="4103" width="14.1111111111111" style="1" customWidth="1"/>
    <col min="4104" max="4104" width="9" style="1"/>
    <col min="4105" max="4105" width="11.4444444444444" style="1" customWidth="1"/>
    <col min="4106" max="4111" width="10.1111111111111" style="1" customWidth="1"/>
    <col min="4112" max="4112" width="9.77777777777778" style="1" customWidth="1"/>
    <col min="4113" max="4354" width="9" style="1"/>
    <col min="4355" max="4355" width="15.4444444444444" style="1" customWidth="1"/>
    <col min="4356" max="4357" width="5.77777777777778" style="1" customWidth="1"/>
    <col min="4358" max="4358" width="7.11111111111111" style="1" customWidth="1"/>
    <col min="4359" max="4359" width="14.1111111111111" style="1" customWidth="1"/>
    <col min="4360" max="4360" width="9" style="1"/>
    <col min="4361" max="4361" width="11.4444444444444" style="1" customWidth="1"/>
    <col min="4362" max="4367" width="10.1111111111111" style="1" customWidth="1"/>
    <col min="4368" max="4368" width="9.77777777777778" style="1" customWidth="1"/>
    <col min="4369" max="4610" width="9" style="1"/>
    <col min="4611" max="4611" width="15.4444444444444" style="1" customWidth="1"/>
    <col min="4612" max="4613" width="5.77777777777778" style="1" customWidth="1"/>
    <col min="4614" max="4614" width="7.11111111111111" style="1" customWidth="1"/>
    <col min="4615" max="4615" width="14.1111111111111" style="1" customWidth="1"/>
    <col min="4616" max="4616" width="9" style="1"/>
    <col min="4617" max="4617" width="11.4444444444444" style="1" customWidth="1"/>
    <col min="4618" max="4623" width="10.1111111111111" style="1" customWidth="1"/>
    <col min="4624" max="4624" width="9.77777777777778" style="1" customWidth="1"/>
    <col min="4625" max="4866" width="9" style="1"/>
    <col min="4867" max="4867" width="15.4444444444444" style="1" customWidth="1"/>
    <col min="4868" max="4869" width="5.77777777777778" style="1" customWidth="1"/>
    <col min="4870" max="4870" width="7.11111111111111" style="1" customWidth="1"/>
    <col min="4871" max="4871" width="14.1111111111111" style="1" customWidth="1"/>
    <col min="4872" max="4872" width="9" style="1"/>
    <col min="4873" max="4873" width="11.4444444444444" style="1" customWidth="1"/>
    <col min="4874" max="4879" width="10.1111111111111" style="1" customWidth="1"/>
    <col min="4880" max="4880" width="9.77777777777778" style="1" customWidth="1"/>
    <col min="4881" max="5122" width="9" style="1"/>
    <col min="5123" max="5123" width="15.4444444444444" style="1" customWidth="1"/>
    <col min="5124" max="5125" width="5.77777777777778" style="1" customWidth="1"/>
    <col min="5126" max="5126" width="7.11111111111111" style="1" customWidth="1"/>
    <col min="5127" max="5127" width="14.1111111111111" style="1" customWidth="1"/>
    <col min="5128" max="5128" width="9" style="1"/>
    <col min="5129" max="5129" width="11.4444444444444" style="1" customWidth="1"/>
    <col min="5130" max="5135" width="10.1111111111111" style="1" customWidth="1"/>
    <col min="5136" max="5136" width="9.77777777777778" style="1" customWidth="1"/>
    <col min="5137" max="5378" width="9" style="1"/>
    <col min="5379" max="5379" width="15.4444444444444" style="1" customWidth="1"/>
    <col min="5380" max="5381" width="5.77777777777778" style="1" customWidth="1"/>
    <col min="5382" max="5382" width="7.11111111111111" style="1" customWidth="1"/>
    <col min="5383" max="5383" width="14.1111111111111" style="1" customWidth="1"/>
    <col min="5384" max="5384" width="9" style="1"/>
    <col min="5385" max="5385" width="11.4444444444444" style="1" customWidth="1"/>
    <col min="5386" max="5391" width="10.1111111111111" style="1" customWidth="1"/>
    <col min="5392" max="5392" width="9.77777777777778" style="1" customWidth="1"/>
    <col min="5393" max="5634" width="9" style="1"/>
    <col min="5635" max="5635" width="15.4444444444444" style="1" customWidth="1"/>
    <col min="5636" max="5637" width="5.77777777777778" style="1" customWidth="1"/>
    <col min="5638" max="5638" width="7.11111111111111" style="1" customWidth="1"/>
    <col min="5639" max="5639" width="14.1111111111111" style="1" customWidth="1"/>
    <col min="5640" max="5640" width="9" style="1"/>
    <col min="5641" max="5641" width="11.4444444444444" style="1" customWidth="1"/>
    <col min="5642" max="5647" width="10.1111111111111" style="1" customWidth="1"/>
    <col min="5648" max="5648" width="9.77777777777778" style="1" customWidth="1"/>
    <col min="5649" max="5890" width="9" style="1"/>
    <col min="5891" max="5891" width="15.4444444444444" style="1" customWidth="1"/>
    <col min="5892" max="5893" width="5.77777777777778" style="1" customWidth="1"/>
    <col min="5894" max="5894" width="7.11111111111111" style="1" customWidth="1"/>
    <col min="5895" max="5895" width="14.1111111111111" style="1" customWidth="1"/>
    <col min="5896" max="5896" width="9" style="1"/>
    <col min="5897" max="5897" width="11.4444444444444" style="1" customWidth="1"/>
    <col min="5898" max="5903" width="10.1111111111111" style="1" customWidth="1"/>
    <col min="5904" max="5904" width="9.77777777777778" style="1" customWidth="1"/>
    <col min="5905" max="6146" width="9" style="1"/>
    <col min="6147" max="6147" width="15.4444444444444" style="1" customWidth="1"/>
    <col min="6148" max="6149" width="5.77777777777778" style="1" customWidth="1"/>
    <col min="6150" max="6150" width="7.11111111111111" style="1" customWidth="1"/>
    <col min="6151" max="6151" width="14.1111111111111" style="1" customWidth="1"/>
    <col min="6152" max="6152" width="9" style="1"/>
    <col min="6153" max="6153" width="11.4444444444444" style="1" customWidth="1"/>
    <col min="6154" max="6159" width="10.1111111111111" style="1" customWidth="1"/>
    <col min="6160" max="6160" width="9.77777777777778" style="1" customWidth="1"/>
    <col min="6161" max="6402" width="9" style="1"/>
    <col min="6403" max="6403" width="15.4444444444444" style="1" customWidth="1"/>
    <col min="6404" max="6405" width="5.77777777777778" style="1" customWidth="1"/>
    <col min="6406" max="6406" width="7.11111111111111" style="1" customWidth="1"/>
    <col min="6407" max="6407" width="14.1111111111111" style="1" customWidth="1"/>
    <col min="6408" max="6408" width="9" style="1"/>
    <col min="6409" max="6409" width="11.4444444444444" style="1" customWidth="1"/>
    <col min="6410" max="6415" width="10.1111111111111" style="1" customWidth="1"/>
    <col min="6416" max="6416" width="9.77777777777778" style="1" customWidth="1"/>
    <col min="6417" max="6658" width="9" style="1"/>
    <col min="6659" max="6659" width="15.4444444444444" style="1" customWidth="1"/>
    <col min="6660" max="6661" width="5.77777777777778" style="1" customWidth="1"/>
    <col min="6662" max="6662" width="7.11111111111111" style="1" customWidth="1"/>
    <col min="6663" max="6663" width="14.1111111111111" style="1" customWidth="1"/>
    <col min="6664" max="6664" width="9" style="1"/>
    <col min="6665" max="6665" width="11.4444444444444" style="1" customWidth="1"/>
    <col min="6666" max="6671" width="10.1111111111111" style="1" customWidth="1"/>
    <col min="6672" max="6672" width="9.77777777777778" style="1" customWidth="1"/>
    <col min="6673" max="6914" width="9" style="1"/>
    <col min="6915" max="6915" width="15.4444444444444" style="1" customWidth="1"/>
    <col min="6916" max="6917" width="5.77777777777778" style="1" customWidth="1"/>
    <col min="6918" max="6918" width="7.11111111111111" style="1" customWidth="1"/>
    <col min="6919" max="6919" width="14.1111111111111" style="1" customWidth="1"/>
    <col min="6920" max="6920" width="9" style="1"/>
    <col min="6921" max="6921" width="11.4444444444444" style="1" customWidth="1"/>
    <col min="6922" max="6927" width="10.1111111111111" style="1" customWidth="1"/>
    <col min="6928" max="6928" width="9.77777777777778" style="1" customWidth="1"/>
    <col min="6929" max="7170" width="9" style="1"/>
    <col min="7171" max="7171" width="15.4444444444444" style="1" customWidth="1"/>
    <col min="7172" max="7173" width="5.77777777777778" style="1" customWidth="1"/>
    <col min="7174" max="7174" width="7.11111111111111" style="1" customWidth="1"/>
    <col min="7175" max="7175" width="14.1111111111111" style="1" customWidth="1"/>
    <col min="7176" max="7176" width="9" style="1"/>
    <col min="7177" max="7177" width="11.4444444444444" style="1" customWidth="1"/>
    <col min="7178" max="7183" width="10.1111111111111" style="1" customWidth="1"/>
    <col min="7184" max="7184" width="9.77777777777778" style="1" customWidth="1"/>
    <col min="7185" max="7426" width="9" style="1"/>
    <col min="7427" max="7427" width="15.4444444444444" style="1" customWidth="1"/>
    <col min="7428" max="7429" width="5.77777777777778" style="1" customWidth="1"/>
    <col min="7430" max="7430" width="7.11111111111111" style="1" customWidth="1"/>
    <col min="7431" max="7431" width="14.1111111111111" style="1" customWidth="1"/>
    <col min="7432" max="7432" width="9" style="1"/>
    <col min="7433" max="7433" width="11.4444444444444" style="1" customWidth="1"/>
    <col min="7434" max="7439" width="10.1111111111111" style="1" customWidth="1"/>
    <col min="7440" max="7440" width="9.77777777777778" style="1" customWidth="1"/>
    <col min="7441" max="7682" width="9" style="1"/>
    <col min="7683" max="7683" width="15.4444444444444" style="1" customWidth="1"/>
    <col min="7684" max="7685" width="5.77777777777778" style="1" customWidth="1"/>
    <col min="7686" max="7686" width="7.11111111111111" style="1" customWidth="1"/>
    <col min="7687" max="7687" width="14.1111111111111" style="1" customWidth="1"/>
    <col min="7688" max="7688" width="9" style="1"/>
    <col min="7689" max="7689" width="11.4444444444444" style="1" customWidth="1"/>
    <col min="7690" max="7695" width="10.1111111111111" style="1" customWidth="1"/>
    <col min="7696" max="7696" width="9.77777777777778" style="1" customWidth="1"/>
    <col min="7697" max="7938" width="9" style="1"/>
    <col min="7939" max="7939" width="15.4444444444444" style="1" customWidth="1"/>
    <col min="7940" max="7941" width="5.77777777777778" style="1" customWidth="1"/>
    <col min="7942" max="7942" width="7.11111111111111" style="1" customWidth="1"/>
    <col min="7943" max="7943" width="14.1111111111111" style="1" customWidth="1"/>
    <col min="7944" max="7944" width="9" style="1"/>
    <col min="7945" max="7945" width="11.4444444444444" style="1" customWidth="1"/>
    <col min="7946" max="7951" width="10.1111111111111" style="1" customWidth="1"/>
    <col min="7952" max="7952" width="9.77777777777778" style="1" customWidth="1"/>
    <col min="7953" max="8194" width="9" style="1"/>
    <col min="8195" max="8195" width="15.4444444444444" style="1" customWidth="1"/>
    <col min="8196" max="8197" width="5.77777777777778" style="1" customWidth="1"/>
    <col min="8198" max="8198" width="7.11111111111111" style="1" customWidth="1"/>
    <col min="8199" max="8199" width="14.1111111111111" style="1" customWidth="1"/>
    <col min="8200" max="8200" width="9" style="1"/>
    <col min="8201" max="8201" width="11.4444444444444" style="1" customWidth="1"/>
    <col min="8202" max="8207" width="10.1111111111111" style="1" customWidth="1"/>
    <col min="8208" max="8208" width="9.77777777777778" style="1" customWidth="1"/>
    <col min="8209" max="8450" width="9" style="1"/>
    <col min="8451" max="8451" width="15.4444444444444" style="1" customWidth="1"/>
    <col min="8452" max="8453" width="5.77777777777778" style="1" customWidth="1"/>
    <col min="8454" max="8454" width="7.11111111111111" style="1" customWidth="1"/>
    <col min="8455" max="8455" width="14.1111111111111" style="1" customWidth="1"/>
    <col min="8456" max="8456" width="9" style="1"/>
    <col min="8457" max="8457" width="11.4444444444444" style="1" customWidth="1"/>
    <col min="8458" max="8463" width="10.1111111111111" style="1" customWidth="1"/>
    <col min="8464" max="8464" width="9.77777777777778" style="1" customWidth="1"/>
    <col min="8465" max="8706" width="9" style="1"/>
    <col min="8707" max="8707" width="15.4444444444444" style="1" customWidth="1"/>
    <col min="8708" max="8709" width="5.77777777777778" style="1" customWidth="1"/>
    <col min="8710" max="8710" width="7.11111111111111" style="1" customWidth="1"/>
    <col min="8711" max="8711" width="14.1111111111111" style="1" customWidth="1"/>
    <col min="8712" max="8712" width="9" style="1"/>
    <col min="8713" max="8713" width="11.4444444444444" style="1" customWidth="1"/>
    <col min="8714" max="8719" width="10.1111111111111" style="1" customWidth="1"/>
    <col min="8720" max="8720" width="9.77777777777778" style="1" customWidth="1"/>
    <col min="8721" max="8962" width="9" style="1"/>
    <col min="8963" max="8963" width="15.4444444444444" style="1" customWidth="1"/>
    <col min="8964" max="8965" width="5.77777777777778" style="1" customWidth="1"/>
    <col min="8966" max="8966" width="7.11111111111111" style="1" customWidth="1"/>
    <col min="8967" max="8967" width="14.1111111111111" style="1" customWidth="1"/>
    <col min="8968" max="8968" width="9" style="1"/>
    <col min="8969" max="8969" width="11.4444444444444" style="1" customWidth="1"/>
    <col min="8970" max="8975" width="10.1111111111111" style="1" customWidth="1"/>
    <col min="8976" max="8976" width="9.77777777777778" style="1" customWidth="1"/>
    <col min="8977" max="9218" width="9" style="1"/>
    <col min="9219" max="9219" width="15.4444444444444" style="1" customWidth="1"/>
    <col min="9220" max="9221" width="5.77777777777778" style="1" customWidth="1"/>
    <col min="9222" max="9222" width="7.11111111111111" style="1" customWidth="1"/>
    <col min="9223" max="9223" width="14.1111111111111" style="1" customWidth="1"/>
    <col min="9224" max="9224" width="9" style="1"/>
    <col min="9225" max="9225" width="11.4444444444444" style="1" customWidth="1"/>
    <col min="9226" max="9231" width="10.1111111111111" style="1" customWidth="1"/>
    <col min="9232" max="9232" width="9.77777777777778" style="1" customWidth="1"/>
    <col min="9233" max="9474" width="9" style="1"/>
    <col min="9475" max="9475" width="15.4444444444444" style="1" customWidth="1"/>
    <col min="9476" max="9477" width="5.77777777777778" style="1" customWidth="1"/>
    <col min="9478" max="9478" width="7.11111111111111" style="1" customWidth="1"/>
    <col min="9479" max="9479" width="14.1111111111111" style="1" customWidth="1"/>
    <col min="9480" max="9480" width="9" style="1"/>
    <col min="9481" max="9481" width="11.4444444444444" style="1" customWidth="1"/>
    <col min="9482" max="9487" width="10.1111111111111" style="1" customWidth="1"/>
    <col min="9488" max="9488" width="9.77777777777778" style="1" customWidth="1"/>
    <col min="9489" max="9730" width="9" style="1"/>
    <col min="9731" max="9731" width="15.4444444444444" style="1" customWidth="1"/>
    <col min="9732" max="9733" width="5.77777777777778" style="1" customWidth="1"/>
    <col min="9734" max="9734" width="7.11111111111111" style="1" customWidth="1"/>
    <col min="9735" max="9735" width="14.1111111111111" style="1" customWidth="1"/>
    <col min="9736" max="9736" width="9" style="1"/>
    <col min="9737" max="9737" width="11.4444444444444" style="1" customWidth="1"/>
    <col min="9738" max="9743" width="10.1111111111111" style="1" customWidth="1"/>
    <col min="9744" max="9744" width="9.77777777777778" style="1" customWidth="1"/>
    <col min="9745" max="9986" width="9" style="1"/>
    <col min="9987" max="9987" width="15.4444444444444" style="1" customWidth="1"/>
    <col min="9988" max="9989" width="5.77777777777778" style="1" customWidth="1"/>
    <col min="9990" max="9990" width="7.11111111111111" style="1" customWidth="1"/>
    <col min="9991" max="9991" width="14.1111111111111" style="1" customWidth="1"/>
    <col min="9992" max="9992" width="9" style="1"/>
    <col min="9993" max="9993" width="11.4444444444444" style="1" customWidth="1"/>
    <col min="9994" max="9999" width="10.1111111111111" style="1" customWidth="1"/>
    <col min="10000" max="10000" width="9.77777777777778" style="1" customWidth="1"/>
    <col min="10001" max="10242" width="9" style="1"/>
    <col min="10243" max="10243" width="15.4444444444444" style="1" customWidth="1"/>
    <col min="10244" max="10245" width="5.77777777777778" style="1" customWidth="1"/>
    <col min="10246" max="10246" width="7.11111111111111" style="1" customWidth="1"/>
    <col min="10247" max="10247" width="14.1111111111111" style="1" customWidth="1"/>
    <col min="10248" max="10248" width="9" style="1"/>
    <col min="10249" max="10249" width="11.4444444444444" style="1" customWidth="1"/>
    <col min="10250" max="10255" width="10.1111111111111" style="1" customWidth="1"/>
    <col min="10256" max="10256" width="9.77777777777778" style="1" customWidth="1"/>
    <col min="10257" max="10498" width="9" style="1"/>
    <col min="10499" max="10499" width="15.4444444444444" style="1" customWidth="1"/>
    <col min="10500" max="10501" width="5.77777777777778" style="1" customWidth="1"/>
    <col min="10502" max="10502" width="7.11111111111111" style="1" customWidth="1"/>
    <col min="10503" max="10503" width="14.1111111111111" style="1" customWidth="1"/>
    <col min="10504" max="10504" width="9" style="1"/>
    <col min="10505" max="10505" width="11.4444444444444" style="1" customWidth="1"/>
    <col min="10506" max="10511" width="10.1111111111111" style="1" customWidth="1"/>
    <col min="10512" max="10512" width="9.77777777777778" style="1" customWidth="1"/>
    <col min="10513" max="10754" width="9" style="1"/>
    <col min="10755" max="10755" width="15.4444444444444" style="1" customWidth="1"/>
    <col min="10756" max="10757" width="5.77777777777778" style="1" customWidth="1"/>
    <col min="10758" max="10758" width="7.11111111111111" style="1" customWidth="1"/>
    <col min="10759" max="10759" width="14.1111111111111" style="1" customWidth="1"/>
    <col min="10760" max="10760" width="9" style="1"/>
    <col min="10761" max="10761" width="11.4444444444444" style="1" customWidth="1"/>
    <col min="10762" max="10767" width="10.1111111111111" style="1" customWidth="1"/>
    <col min="10768" max="10768" width="9.77777777777778" style="1" customWidth="1"/>
    <col min="10769" max="11010" width="9" style="1"/>
    <col min="11011" max="11011" width="15.4444444444444" style="1" customWidth="1"/>
    <col min="11012" max="11013" width="5.77777777777778" style="1" customWidth="1"/>
    <col min="11014" max="11014" width="7.11111111111111" style="1" customWidth="1"/>
    <col min="11015" max="11015" width="14.1111111111111" style="1" customWidth="1"/>
    <col min="11016" max="11016" width="9" style="1"/>
    <col min="11017" max="11017" width="11.4444444444444" style="1" customWidth="1"/>
    <col min="11018" max="11023" width="10.1111111111111" style="1" customWidth="1"/>
    <col min="11024" max="11024" width="9.77777777777778" style="1" customWidth="1"/>
    <col min="11025" max="11266" width="9" style="1"/>
    <col min="11267" max="11267" width="15.4444444444444" style="1" customWidth="1"/>
    <col min="11268" max="11269" width="5.77777777777778" style="1" customWidth="1"/>
    <col min="11270" max="11270" width="7.11111111111111" style="1" customWidth="1"/>
    <col min="11271" max="11271" width="14.1111111111111" style="1" customWidth="1"/>
    <col min="11272" max="11272" width="9" style="1"/>
    <col min="11273" max="11273" width="11.4444444444444" style="1" customWidth="1"/>
    <col min="11274" max="11279" width="10.1111111111111" style="1" customWidth="1"/>
    <col min="11280" max="11280" width="9.77777777777778" style="1" customWidth="1"/>
    <col min="11281" max="11522" width="9" style="1"/>
    <col min="11523" max="11523" width="15.4444444444444" style="1" customWidth="1"/>
    <col min="11524" max="11525" width="5.77777777777778" style="1" customWidth="1"/>
    <col min="11526" max="11526" width="7.11111111111111" style="1" customWidth="1"/>
    <col min="11527" max="11527" width="14.1111111111111" style="1" customWidth="1"/>
    <col min="11528" max="11528" width="9" style="1"/>
    <col min="11529" max="11529" width="11.4444444444444" style="1" customWidth="1"/>
    <col min="11530" max="11535" width="10.1111111111111" style="1" customWidth="1"/>
    <col min="11536" max="11536" width="9.77777777777778" style="1" customWidth="1"/>
    <col min="11537" max="11778" width="9" style="1"/>
    <col min="11779" max="11779" width="15.4444444444444" style="1" customWidth="1"/>
    <col min="11780" max="11781" width="5.77777777777778" style="1" customWidth="1"/>
    <col min="11782" max="11782" width="7.11111111111111" style="1" customWidth="1"/>
    <col min="11783" max="11783" width="14.1111111111111" style="1" customWidth="1"/>
    <col min="11784" max="11784" width="9" style="1"/>
    <col min="11785" max="11785" width="11.4444444444444" style="1" customWidth="1"/>
    <col min="11786" max="11791" width="10.1111111111111" style="1" customWidth="1"/>
    <col min="11792" max="11792" width="9.77777777777778" style="1" customWidth="1"/>
    <col min="11793" max="12034" width="9" style="1"/>
    <col min="12035" max="12035" width="15.4444444444444" style="1" customWidth="1"/>
    <col min="12036" max="12037" width="5.77777777777778" style="1" customWidth="1"/>
    <col min="12038" max="12038" width="7.11111111111111" style="1" customWidth="1"/>
    <col min="12039" max="12039" width="14.1111111111111" style="1" customWidth="1"/>
    <col min="12040" max="12040" width="9" style="1"/>
    <col min="12041" max="12041" width="11.4444444444444" style="1" customWidth="1"/>
    <col min="12042" max="12047" width="10.1111111111111" style="1" customWidth="1"/>
    <col min="12048" max="12048" width="9.77777777777778" style="1" customWidth="1"/>
    <col min="12049" max="12290" width="9" style="1"/>
    <col min="12291" max="12291" width="15.4444444444444" style="1" customWidth="1"/>
    <col min="12292" max="12293" width="5.77777777777778" style="1" customWidth="1"/>
    <col min="12294" max="12294" width="7.11111111111111" style="1" customWidth="1"/>
    <col min="12295" max="12295" width="14.1111111111111" style="1" customWidth="1"/>
    <col min="12296" max="12296" width="9" style="1"/>
    <col min="12297" max="12297" width="11.4444444444444" style="1" customWidth="1"/>
    <col min="12298" max="12303" width="10.1111111111111" style="1" customWidth="1"/>
    <col min="12304" max="12304" width="9.77777777777778" style="1" customWidth="1"/>
    <col min="12305" max="12546" width="9" style="1"/>
    <col min="12547" max="12547" width="15.4444444444444" style="1" customWidth="1"/>
    <col min="12548" max="12549" width="5.77777777777778" style="1" customWidth="1"/>
    <col min="12550" max="12550" width="7.11111111111111" style="1" customWidth="1"/>
    <col min="12551" max="12551" width="14.1111111111111" style="1" customWidth="1"/>
    <col min="12552" max="12552" width="9" style="1"/>
    <col min="12553" max="12553" width="11.4444444444444" style="1" customWidth="1"/>
    <col min="12554" max="12559" width="10.1111111111111" style="1" customWidth="1"/>
    <col min="12560" max="12560" width="9.77777777777778" style="1" customWidth="1"/>
    <col min="12561" max="12802" width="9" style="1"/>
    <col min="12803" max="12803" width="15.4444444444444" style="1" customWidth="1"/>
    <col min="12804" max="12805" width="5.77777777777778" style="1" customWidth="1"/>
    <col min="12806" max="12806" width="7.11111111111111" style="1" customWidth="1"/>
    <col min="12807" max="12807" width="14.1111111111111" style="1" customWidth="1"/>
    <col min="12808" max="12808" width="9" style="1"/>
    <col min="12809" max="12809" width="11.4444444444444" style="1" customWidth="1"/>
    <col min="12810" max="12815" width="10.1111111111111" style="1" customWidth="1"/>
    <col min="12816" max="12816" width="9.77777777777778" style="1" customWidth="1"/>
    <col min="12817" max="13058" width="9" style="1"/>
    <col min="13059" max="13059" width="15.4444444444444" style="1" customWidth="1"/>
    <col min="13060" max="13061" width="5.77777777777778" style="1" customWidth="1"/>
    <col min="13062" max="13062" width="7.11111111111111" style="1" customWidth="1"/>
    <col min="13063" max="13063" width="14.1111111111111" style="1" customWidth="1"/>
    <col min="13064" max="13064" width="9" style="1"/>
    <col min="13065" max="13065" width="11.4444444444444" style="1" customWidth="1"/>
    <col min="13066" max="13071" width="10.1111111111111" style="1" customWidth="1"/>
    <col min="13072" max="13072" width="9.77777777777778" style="1" customWidth="1"/>
    <col min="13073" max="13314" width="9" style="1"/>
    <col min="13315" max="13315" width="15.4444444444444" style="1" customWidth="1"/>
    <col min="13316" max="13317" width="5.77777777777778" style="1" customWidth="1"/>
    <col min="13318" max="13318" width="7.11111111111111" style="1" customWidth="1"/>
    <col min="13319" max="13319" width="14.1111111111111" style="1" customWidth="1"/>
    <col min="13320" max="13320" width="9" style="1"/>
    <col min="13321" max="13321" width="11.4444444444444" style="1" customWidth="1"/>
    <col min="13322" max="13327" width="10.1111111111111" style="1" customWidth="1"/>
    <col min="13328" max="13328" width="9.77777777777778" style="1" customWidth="1"/>
    <col min="13329" max="13570" width="9" style="1"/>
    <col min="13571" max="13571" width="15.4444444444444" style="1" customWidth="1"/>
    <col min="13572" max="13573" width="5.77777777777778" style="1" customWidth="1"/>
    <col min="13574" max="13574" width="7.11111111111111" style="1" customWidth="1"/>
    <col min="13575" max="13575" width="14.1111111111111" style="1" customWidth="1"/>
    <col min="13576" max="13576" width="9" style="1"/>
    <col min="13577" max="13577" width="11.4444444444444" style="1" customWidth="1"/>
    <col min="13578" max="13583" width="10.1111111111111" style="1" customWidth="1"/>
    <col min="13584" max="13584" width="9.77777777777778" style="1" customWidth="1"/>
    <col min="13585" max="13826" width="9" style="1"/>
    <col min="13827" max="13827" width="15.4444444444444" style="1" customWidth="1"/>
    <col min="13828" max="13829" width="5.77777777777778" style="1" customWidth="1"/>
    <col min="13830" max="13830" width="7.11111111111111" style="1" customWidth="1"/>
    <col min="13831" max="13831" width="14.1111111111111" style="1" customWidth="1"/>
    <col min="13832" max="13832" width="9" style="1"/>
    <col min="13833" max="13833" width="11.4444444444444" style="1" customWidth="1"/>
    <col min="13834" max="13839" width="10.1111111111111" style="1" customWidth="1"/>
    <col min="13840" max="13840" width="9.77777777777778" style="1" customWidth="1"/>
    <col min="13841" max="14082" width="9" style="1"/>
    <col min="14083" max="14083" width="15.4444444444444" style="1" customWidth="1"/>
    <col min="14084" max="14085" width="5.77777777777778" style="1" customWidth="1"/>
    <col min="14086" max="14086" width="7.11111111111111" style="1" customWidth="1"/>
    <col min="14087" max="14087" width="14.1111111111111" style="1" customWidth="1"/>
    <col min="14088" max="14088" width="9" style="1"/>
    <col min="14089" max="14089" width="11.4444444444444" style="1" customWidth="1"/>
    <col min="14090" max="14095" width="10.1111111111111" style="1" customWidth="1"/>
    <col min="14096" max="14096" width="9.77777777777778" style="1" customWidth="1"/>
    <col min="14097" max="14338" width="9" style="1"/>
    <col min="14339" max="14339" width="15.4444444444444" style="1" customWidth="1"/>
    <col min="14340" max="14341" width="5.77777777777778" style="1" customWidth="1"/>
    <col min="14342" max="14342" width="7.11111111111111" style="1" customWidth="1"/>
    <col min="14343" max="14343" width="14.1111111111111" style="1" customWidth="1"/>
    <col min="14344" max="14344" width="9" style="1"/>
    <col min="14345" max="14345" width="11.4444444444444" style="1" customWidth="1"/>
    <col min="14346" max="14351" width="10.1111111111111" style="1" customWidth="1"/>
    <col min="14352" max="14352" width="9.77777777777778" style="1" customWidth="1"/>
    <col min="14353" max="14594" width="9" style="1"/>
    <col min="14595" max="14595" width="15.4444444444444" style="1" customWidth="1"/>
    <col min="14596" max="14597" width="5.77777777777778" style="1" customWidth="1"/>
    <col min="14598" max="14598" width="7.11111111111111" style="1" customWidth="1"/>
    <col min="14599" max="14599" width="14.1111111111111" style="1" customWidth="1"/>
    <col min="14600" max="14600" width="9" style="1"/>
    <col min="14601" max="14601" width="11.4444444444444" style="1" customWidth="1"/>
    <col min="14602" max="14607" width="10.1111111111111" style="1" customWidth="1"/>
    <col min="14608" max="14608" width="9.77777777777778" style="1" customWidth="1"/>
    <col min="14609" max="14850" width="9" style="1"/>
    <col min="14851" max="14851" width="15.4444444444444" style="1" customWidth="1"/>
    <col min="14852" max="14853" width="5.77777777777778" style="1" customWidth="1"/>
    <col min="14854" max="14854" width="7.11111111111111" style="1" customWidth="1"/>
    <col min="14855" max="14855" width="14.1111111111111" style="1" customWidth="1"/>
    <col min="14856" max="14856" width="9" style="1"/>
    <col min="14857" max="14857" width="11.4444444444444" style="1" customWidth="1"/>
    <col min="14858" max="14863" width="10.1111111111111" style="1" customWidth="1"/>
    <col min="14864" max="14864" width="9.77777777777778" style="1" customWidth="1"/>
    <col min="14865" max="15106" width="9" style="1"/>
    <col min="15107" max="15107" width="15.4444444444444" style="1" customWidth="1"/>
    <col min="15108" max="15109" width="5.77777777777778" style="1" customWidth="1"/>
    <col min="15110" max="15110" width="7.11111111111111" style="1" customWidth="1"/>
    <col min="15111" max="15111" width="14.1111111111111" style="1" customWidth="1"/>
    <col min="15112" max="15112" width="9" style="1"/>
    <col min="15113" max="15113" width="11.4444444444444" style="1" customWidth="1"/>
    <col min="15114" max="15119" width="10.1111111111111" style="1" customWidth="1"/>
    <col min="15120" max="15120" width="9.77777777777778" style="1" customWidth="1"/>
    <col min="15121" max="15362" width="9" style="1"/>
    <col min="15363" max="15363" width="15.4444444444444" style="1" customWidth="1"/>
    <col min="15364" max="15365" width="5.77777777777778" style="1" customWidth="1"/>
    <col min="15366" max="15366" width="7.11111111111111" style="1" customWidth="1"/>
    <col min="15367" max="15367" width="14.1111111111111" style="1" customWidth="1"/>
    <col min="15368" max="15368" width="9" style="1"/>
    <col min="15369" max="15369" width="11.4444444444444" style="1" customWidth="1"/>
    <col min="15370" max="15375" width="10.1111111111111" style="1" customWidth="1"/>
    <col min="15376" max="15376" width="9.77777777777778" style="1" customWidth="1"/>
    <col min="15377" max="15618" width="9" style="1"/>
    <col min="15619" max="15619" width="15.4444444444444" style="1" customWidth="1"/>
    <col min="15620" max="15621" width="5.77777777777778" style="1" customWidth="1"/>
    <col min="15622" max="15622" width="7.11111111111111" style="1" customWidth="1"/>
    <col min="15623" max="15623" width="14.1111111111111" style="1" customWidth="1"/>
    <col min="15624" max="15624" width="9" style="1"/>
    <col min="15625" max="15625" width="11.4444444444444" style="1" customWidth="1"/>
    <col min="15626" max="15631" width="10.1111111111111" style="1" customWidth="1"/>
    <col min="15632" max="15632" width="9.77777777777778" style="1" customWidth="1"/>
    <col min="15633" max="15874" width="9" style="1"/>
    <col min="15875" max="15875" width="15.4444444444444" style="1" customWidth="1"/>
    <col min="15876" max="15877" width="5.77777777777778" style="1" customWidth="1"/>
    <col min="15878" max="15878" width="7.11111111111111" style="1" customWidth="1"/>
    <col min="15879" max="15879" width="14.1111111111111" style="1" customWidth="1"/>
    <col min="15880" max="15880" width="9" style="1"/>
    <col min="15881" max="15881" width="11.4444444444444" style="1" customWidth="1"/>
    <col min="15882" max="15887" width="10.1111111111111" style="1" customWidth="1"/>
    <col min="15888" max="15888" width="9.77777777777778" style="1" customWidth="1"/>
    <col min="15889" max="16130" width="9" style="1"/>
    <col min="16131" max="16131" width="15.4444444444444" style="1" customWidth="1"/>
    <col min="16132" max="16133" width="5.77777777777778" style="1" customWidth="1"/>
    <col min="16134" max="16134" width="7.11111111111111" style="1" customWidth="1"/>
    <col min="16135" max="16135" width="14.1111111111111" style="1" customWidth="1"/>
    <col min="16136" max="16136" width="9" style="1"/>
    <col min="16137" max="16137" width="11.4444444444444" style="1" customWidth="1"/>
    <col min="16138" max="16143" width="10.1111111111111" style="1" customWidth="1"/>
    <col min="16144" max="16144" width="9.77777777777778" style="1" customWidth="1"/>
    <col min="16145" max="16384" width="9" style="1"/>
  </cols>
  <sheetData>
    <row r="1" spans="5:9">
      <c r="E1" s="2" t="s">
        <v>0</v>
      </c>
      <c r="F1" s="2"/>
      <c r="G1" s="2"/>
      <c r="H1" s="3" t="s">
        <v>1</v>
      </c>
      <c r="I1" s="3"/>
    </row>
    <row r="2" spans="5:9">
      <c r="E2" s="4" t="s">
        <v>2</v>
      </c>
      <c r="F2" s="4"/>
      <c r="G2" s="4" t="s">
        <v>3</v>
      </c>
      <c r="H2" s="3" t="s">
        <v>4</v>
      </c>
      <c r="I2" s="3"/>
    </row>
    <row r="3" spans="5:9">
      <c r="E3" s="5" t="s">
        <v>5</v>
      </c>
      <c r="F3" s="5"/>
      <c r="G3" s="6">
        <v>254</v>
      </c>
      <c r="H3" s="3" t="s">
        <v>6</v>
      </c>
      <c r="I3" s="3"/>
    </row>
    <row r="4" spans="5:7">
      <c r="E4" s="5" t="s">
        <v>7</v>
      </c>
      <c r="F4" s="5"/>
      <c r="G4" s="6">
        <v>3</v>
      </c>
    </row>
    <row r="5" spans="5:9">
      <c r="E5" s="5" t="s">
        <v>8</v>
      </c>
      <c r="F5" s="5"/>
      <c r="G5" s="6">
        <v>55</v>
      </c>
      <c r="H5" s="3"/>
      <c r="I5" s="3"/>
    </row>
    <row r="6" spans="5:9">
      <c r="E6" s="5" t="s">
        <v>9</v>
      </c>
      <c r="F6" s="5"/>
      <c r="G6" s="6">
        <v>0</v>
      </c>
      <c r="H6" s="1" t="s">
        <v>10</v>
      </c>
      <c r="I6" s="1" t="s">
        <v>11</v>
      </c>
    </row>
    <row r="7" ht="31.2" customHeight="1" spans="3:11">
      <c r="C7" s="2" t="s">
        <v>12</v>
      </c>
      <c r="D7" s="2"/>
      <c r="E7" s="2"/>
      <c r="F7" s="2"/>
      <c r="G7" s="2"/>
      <c r="H7" s="2"/>
      <c r="I7" s="2"/>
      <c r="J7" s="2"/>
      <c r="K7" s="2"/>
    </row>
    <row r="8" spans="3:11">
      <c r="C8" s="7" t="s">
        <v>13</v>
      </c>
      <c r="D8" s="8" t="s">
        <v>14</v>
      </c>
      <c r="E8" s="9"/>
      <c r="F8" s="4" t="s">
        <v>5</v>
      </c>
      <c r="G8" s="4" t="s">
        <v>15</v>
      </c>
      <c r="H8" s="4" t="s">
        <v>16</v>
      </c>
      <c r="I8" s="4" t="s">
        <v>17</v>
      </c>
      <c r="J8" s="15" t="s">
        <v>18</v>
      </c>
      <c r="K8" s="4" t="s">
        <v>19</v>
      </c>
    </row>
    <row r="9" spans="3:11">
      <c r="C9" s="7" t="s">
        <v>20</v>
      </c>
      <c r="D9" s="4" t="str">
        <f>DEC2HEX(255,2)</f>
        <v>FF</v>
      </c>
      <c r="E9" s="4" t="str">
        <f>DEC2HEX(255,2)</f>
        <v>FF</v>
      </c>
      <c r="F9" s="4" t="str">
        <f>DEC2HEX(G3,2)</f>
        <v>FE</v>
      </c>
      <c r="G9" s="4" t="str">
        <f>DEC2HEX(4,2)</f>
        <v>04</v>
      </c>
      <c r="H9" s="4" t="str">
        <f>DEC2HEX(G4,2)</f>
        <v>03</v>
      </c>
      <c r="I9" s="4" t="str">
        <f>DEC2HEX(G5,2)</f>
        <v>37</v>
      </c>
      <c r="J9" s="4" t="str">
        <f>DEC2HEX(G6,2)</f>
        <v>00</v>
      </c>
      <c r="K9" s="4" t="str">
        <f>DEC2HEX(_xlfn.BITXOR(_xlfn.BITAND(SUM(F10+G10+H10+I10+J10),255),255),2)</f>
        <v>C3</v>
      </c>
    </row>
    <row r="10" spans="3:11">
      <c r="C10" s="4" t="s">
        <v>21</v>
      </c>
      <c r="D10" s="4">
        <f t="shared" ref="D10:K10" si="0">HEX2DEC(D9)</f>
        <v>255</v>
      </c>
      <c r="E10" s="4">
        <f t="shared" si="0"/>
        <v>255</v>
      </c>
      <c r="F10" s="4">
        <f t="shared" si="0"/>
        <v>254</v>
      </c>
      <c r="G10" s="4">
        <f t="shared" si="0"/>
        <v>4</v>
      </c>
      <c r="H10" s="4">
        <f t="shared" si="0"/>
        <v>3</v>
      </c>
      <c r="I10" s="4">
        <f t="shared" si="0"/>
        <v>55</v>
      </c>
      <c r="J10" s="4">
        <f t="shared" si="0"/>
        <v>0</v>
      </c>
      <c r="K10" s="4">
        <f t="shared" si="0"/>
        <v>195</v>
      </c>
    </row>
    <row r="11" ht="18" customHeight="1" spans="3:11">
      <c r="C11" s="10" t="s">
        <v>22</v>
      </c>
      <c r="D11" s="10" t="str">
        <f>CONCATENATE(D9," ",E9," ",F9," ",G9," ",H9," ",I9," ",J9," ",K9,)</f>
        <v>FF FF FE 04 03 37 00 C3</v>
      </c>
      <c r="E11" s="10"/>
      <c r="F11" s="10"/>
      <c r="G11" s="10"/>
      <c r="H11" s="10"/>
      <c r="I11" s="10"/>
      <c r="J11" s="10"/>
      <c r="K11" s="10"/>
    </row>
    <row r="12" spans="5:9">
      <c r="E12" s="2" t="s">
        <v>23</v>
      </c>
      <c r="F12" s="2"/>
      <c r="G12" s="2"/>
      <c r="H12" s="3" t="s">
        <v>1</v>
      </c>
      <c r="I12" s="3"/>
    </row>
    <row r="13" spans="5:9">
      <c r="E13" s="4" t="s">
        <v>2</v>
      </c>
      <c r="F13" s="4"/>
      <c r="G13" s="4" t="s">
        <v>24</v>
      </c>
      <c r="H13" s="3" t="s">
        <v>4</v>
      </c>
      <c r="I13" s="3"/>
    </row>
    <row r="14" spans="5:9">
      <c r="E14" s="5" t="s">
        <v>5</v>
      </c>
      <c r="F14" s="5"/>
      <c r="G14" s="6">
        <v>1</v>
      </c>
      <c r="H14" s="3" t="s">
        <v>6</v>
      </c>
      <c r="I14" s="3"/>
    </row>
    <row r="15" spans="5:7">
      <c r="E15" s="5" t="s">
        <v>25</v>
      </c>
      <c r="F15" s="5"/>
      <c r="G15" s="6">
        <v>3</v>
      </c>
    </row>
    <row r="16" spans="5:9">
      <c r="E16" s="5" t="s">
        <v>26</v>
      </c>
      <c r="F16" s="5"/>
      <c r="G16" s="6">
        <v>5</v>
      </c>
      <c r="H16" s="3"/>
      <c r="I16" s="3"/>
    </row>
    <row r="17" spans="5:7">
      <c r="E17" s="5" t="s">
        <v>9</v>
      </c>
      <c r="F17" s="5"/>
      <c r="G17" s="6">
        <v>2</v>
      </c>
    </row>
    <row r="18" ht="31.2" customHeight="1" spans="3:11">
      <c r="C18" s="2" t="s">
        <v>27</v>
      </c>
      <c r="D18" s="2"/>
      <c r="E18" s="2"/>
      <c r="F18" s="2"/>
      <c r="G18" s="2"/>
      <c r="H18" s="2"/>
      <c r="I18" s="2"/>
      <c r="J18" s="2"/>
      <c r="K18" s="2"/>
    </row>
    <row r="19" spans="3:11">
      <c r="C19" s="7" t="s">
        <v>13</v>
      </c>
      <c r="D19" s="8" t="s">
        <v>14</v>
      </c>
      <c r="E19" s="9"/>
      <c r="F19" s="4" t="s">
        <v>5</v>
      </c>
      <c r="G19" s="4" t="s">
        <v>15</v>
      </c>
      <c r="H19" s="4" t="s">
        <v>16</v>
      </c>
      <c r="I19" s="4" t="s">
        <v>17</v>
      </c>
      <c r="J19" s="15" t="s">
        <v>18</v>
      </c>
      <c r="K19" s="4" t="s">
        <v>19</v>
      </c>
    </row>
    <row r="20" spans="3:11">
      <c r="C20" s="7" t="s">
        <v>20</v>
      </c>
      <c r="D20" s="4" t="str">
        <f>DEC2HEX(255,2)</f>
        <v>FF</v>
      </c>
      <c r="E20" s="4" t="str">
        <f>DEC2HEX(255,2)</f>
        <v>FF</v>
      </c>
      <c r="F20" s="4" t="str">
        <f>DEC2HEX(G14,2)</f>
        <v>01</v>
      </c>
      <c r="G20" s="4" t="str">
        <f>DEC2HEX(4,2)</f>
        <v>04</v>
      </c>
      <c r="H20" s="4" t="str">
        <f>DEC2HEX(G15,2)</f>
        <v>03</v>
      </c>
      <c r="I20" s="4" t="str">
        <f>DEC2HEX(G16,2)</f>
        <v>05</v>
      </c>
      <c r="J20" s="4" t="str">
        <f>DEC2HEX(G17,2)</f>
        <v>02</v>
      </c>
      <c r="K20" s="4" t="str">
        <f>DEC2HEX(_xlfn.BITXOR(_xlfn.BITAND(SUM(F21+G21+H21+I21+J21),255),255),2)</f>
        <v>F0</v>
      </c>
    </row>
    <row r="21" spans="3:11">
      <c r="C21" s="4" t="s">
        <v>21</v>
      </c>
      <c r="D21" s="4">
        <f t="shared" ref="D21:K21" si="1">HEX2DEC(D20)</f>
        <v>255</v>
      </c>
      <c r="E21" s="4">
        <f t="shared" si="1"/>
        <v>255</v>
      </c>
      <c r="F21" s="4">
        <f t="shared" si="1"/>
        <v>1</v>
      </c>
      <c r="G21" s="4">
        <f t="shared" si="1"/>
        <v>4</v>
      </c>
      <c r="H21" s="4">
        <f t="shared" si="1"/>
        <v>3</v>
      </c>
      <c r="I21" s="4">
        <f t="shared" si="1"/>
        <v>5</v>
      </c>
      <c r="J21" s="4">
        <f t="shared" si="1"/>
        <v>2</v>
      </c>
      <c r="K21" s="4">
        <f t="shared" si="1"/>
        <v>240</v>
      </c>
    </row>
    <row r="22" ht="18" customHeight="1" spans="3:11">
      <c r="C22" s="10" t="s">
        <v>22</v>
      </c>
      <c r="D22" s="10" t="str">
        <f>CONCATENATE(D20," ",E20," ",F20," ",G20," ",H20," ",I20," ",J20," ",K20,)</f>
        <v>FF FF 01 04 03 05 02 F0</v>
      </c>
      <c r="E22" s="10"/>
      <c r="F22" s="10"/>
      <c r="G22" s="10"/>
      <c r="H22" s="10"/>
      <c r="I22" s="10"/>
      <c r="J22" s="10"/>
      <c r="K22" s="10"/>
    </row>
    <row r="24" ht="21" customHeight="1" spans="5:9">
      <c r="E24" s="2" t="s">
        <v>28</v>
      </c>
      <c r="F24" s="2"/>
      <c r="G24" s="2"/>
      <c r="H24" s="3" t="s">
        <v>1</v>
      </c>
      <c r="I24" s="3"/>
    </row>
    <row r="25" spans="5:10">
      <c r="E25" s="4" t="s">
        <v>2</v>
      </c>
      <c r="F25" s="4"/>
      <c r="G25" s="4" t="s">
        <v>24</v>
      </c>
      <c r="H25" s="11" t="s">
        <v>29</v>
      </c>
      <c r="I25" s="3"/>
      <c r="J25" s="3" t="s">
        <v>30</v>
      </c>
    </row>
    <row r="26" spans="5:9">
      <c r="E26" s="5" t="s">
        <v>5</v>
      </c>
      <c r="F26" s="5"/>
      <c r="G26" s="6">
        <v>1</v>
      </c>
      <c r="H26" s="3" t="s">
        <v>6</v>
      </c>
      <c r="I26" s="3" t="s">
        <v>6</v>
      </c>
    </row>
    <row r="27" spans="5:7">
      <c r="E27" s="5" t="s">
        <v>25</v>
      </c>
      <c r="F27" s="5"/>
      <c r="G27" s="6">
        <v>2</v>
      </c>
    </row>
    <row r="28" spans="5:10">
      <c r="E28" s="5" t="s">
        <v>26</v>
      </c>
      <c r="F28" s="5"/>
      <c r="G28" s="6">
        <v>40</v>
      </c>
      <c r="H28" s="3" t="s">
        <v>31</v>
      </c>
      <c r="I28" s="3" t="s">
        <v>32</v>
      </c>
      <c r="J28" s="1" t="s">
        <v>33</v>
      </c>
    </row>
    <row r="29" spans="5:10">
      <c r="E29" s="5" t="s">
        <v>34</v>
      </c>
      <c r="F29" s="5"/>
      <c r="G29" s="6">
        <v>128</v>
      </c>
      <c r="H29" s="3">
        <v>1</v>
      </c>
      <c r="I29" s="3">
        <v>0</v>
      </c>
      <c r="J29" s="3">
        <v>128</v>
      </c>
    </row>
    <row r="30" ht="31.2" customHeight="1" spans="3:11">
      <c r="C30" s="2" t="s">
        <v>28</v>
      </c>
      <c r="D30" s="2"/>
      <c r="E30" s="2"/>
      <c r="F30" s="2"/>
      <c r="G30" s="2"/>
      <c r="H30" s="2"/>
      <c r="I30" s="2"/>
      <c r="J30" s="2"/>
      <c r="K30" s="2"/>
    </row>
    <row r="31" spans="3:11">
      <c r="C31" s="7" t="s">
        <v>13</v>
      </c>
      <c r="D31" s="8" t="s">
        <v>14</v>
      </c>
      <c r="E31" s="9"/>
      <c r="F31" s="4" t="s">
        <v>5</v>
      </c>
      <c r="G31" s="4" t="s">
        <v>15</v>
      </c>
      <c r="H31" s="4" t="s">
        <v>16</v>
      </c>
      <c r="I31" s="4" t="s">
        <v>17</v>
      </c>
      <c r="J31" s="15" t="s">
        <v>35</v>
      </c>
      <c r="K31" s="4" t="s">
        <v>19</v>
      </c>
    </row>
    <row r="32" spans="3:11">
      <c r="C32" s="7" t="s">
        <v>20</v>
      </c>
      <c r="D32" s="4" t="str">
        <f>DEC2HEX(255,2)</f>
        <v>FF</v>
      </c>
      <c r="E32" s="4" t="str">
        <f>DEC2HEX(255,2)</f>
        <v>FF</v>
      </c>
      <c r="F32" s="4" t="str">
        <f>DEC2HEX(G26,2)</f>
        <v>01</v>
      </c>
      <c r="G32" s="4" t="str">
        <f>DEC2HEX(3,2)</f>
        <v>03</v>
      </c>
      <c r="H32" s="4" t="str">
        <f>DEC2HEX(G27,2)</f>
        <v>02</v>
      </c>
      <c r="I32" s="4" t="str">
        <f>DEC2HEX(G28,2)</f>
        <v>28</v>
      </c>
      <c r="J32" s="4" t="str">
        <f>DEC2HEX(G29,2)</f>
        <v>80</v>
      </c>
      <c r="K32" s="4" t="str">
        <f>DEC2HEX(_xlfn.BITXOR(_xlfn.BITAND(SUM(F33+G33+H33+I33+J33),255),255),2)</f>
        <v>51</v>
      </c>
    </row>
    <row r="33" spans="3:11">
      <c r="C33" s="4" t="s">
        <v>21</v>
      </c>
      <c r="D33" s="4">
        <f t="shared" ref="D33:K33" si="2">HEX2DEC(D32)</f>
        <v>255</v>
      </c>
      <c r="E33" s="4">
        <f t="shared" si="2"/>
        <v>255</v>
      </c>
      <c r="F33" s="4">
        <f t="shared" si="2"/>
        <v>1</v>
      </c>
      <c r="G33" s="4">
        <f t="shared" si="2"/>
        <v>3</v>
      </c>
      <c r="H33" s="4">
        <f t="shared" si="2"/>
        <v>2</v>
      </c>
      <c r="I33" s="4">
        <f t="shared" si="2"/>
        <v>40</v>
      </c>
      <c r="J33" s="4">
        <f t="shared" si="2"/>
        <v>128</v>
      </c>
      <c r="K33" s="4">
        <f t="shared" si="2"/>
        <v>81</v>
      </c>
    </row>
    <row r="34" ht="18" customHeight="1" spans="3:11">
      <c r="C34" s="10" t="s">
        <v>22</v>
      </c>
      <c r="D34" s="10" t="str">
        <f>CONCATENATE(D32," ",E32," ",F32," ",G32," ",H32," ",I32," ",J32," ",K32,)</f>
        <v>FF FF 01 03 02 28 80 51</v>
      </c>
      <c r="E34" s="10"/>
      <c r="F34" s="10"/>
      <c r="G34" s="10"/>
      <c r="H34" s="10"/>
      <c r="I34" s="10"/>
      <c r="J34" s="10"/>
      <c r="K34" s="10"/>
    </row>
    <row r="37" ht="21" customHeight="1" spans="5:9">
      <c r="E37" s="2" t="s">
        <v>34</v>
      </c>
      <c r="F37" s="2"/>
      <c r="G37" s="2"/>
      <c r="H37" s="3" t="s">
        <v>1</v>
      </c>
      <c r="I37" s="3"/>
    </row>
    <row r="38" spans="5:10">
      <c r="E38" s="4" t="s">
        <v>2</v>
      </c>
      <c r="F38" s="4"/>
      <c r="G38" s="4" t="s">
        <v>24</v>
      </c>
      <c r="H38" s="11" t="s">
        <v>36</v>
      </c>
      <c r="I38" s="3"/>
      <c r="J38" s="3"/>
    </row>
    <row r="39" spans="5:9">
      <c r="E39" s="5" t="s">
        <v>5</v>
      </c>
      <c r="F39" s="5"/>
      <c r="G39" s="6">
        <v>1</v>
      </c>
      <c r="H39" s="3" t="s">
        <v>6</v>
      </c>
      <c r="I39" s="3" t="s">
        <v>6</v>
      </c>
    </row>
    <row r="40" spans="5:7">
      <c r="E40" s="5" t="s">
        <v>25</v>
      </c>
      <c r="F40" s="5"/>
      <c r="G40" s="6">
        <v>2</v>
      </c>
    </row>
    <row r="41" spans="5:9">
      <c r="E41" s="5" t="s">
        <v>26</v>
      </c>
      <c r="F41" s="5"/>
      <c r="G41" s="6">
        <v>40</v>
      </c>
      <c r="H41" s="3" t="s">
        <v>31</v>
      </c>
      <c r="I41" s="3" t="s">
        <v>32</v>
      </c>
    </row>
    <row r="42" spans="5:10">
      <c r="E42" s="5" t="s">
        <v>34</v>
      </c>
      <c r="F42" s="5"/>
      <c r="G42" s="6">
        <v>0</v>
      </c>
      <c r="H42" s="3">
        <v>1</v>
      </c>
      <c r="I42" s="3">
        <v>0</v>
      </c>
      <c r="J42" s="3"/>
    </row>
    <row r="43" ht="31.2" customHeight="1" spans="3:11">
      <c r="C43" s="2" t="s">
        <v>37</v>
      </c>
      <c r="D43" s="2"/>
      <c r="E43" s="2"/>
      <c r="F43" s="2"/>
      <c r="G43" s="2"/>
      <c r="H43" s="2"/>
      <c r="I43" s="2"/>
      <c r="J43" s="2"/>
      <c r="K43" s="2"/>
    </row>
    <row r="44" ht="26.4" spans="3:11">
      <c r="C44" s="7" t="s">
        <v>13</v>
      </c>
      <c r="D44" s="8" t="s">
        <v>14</v>
      </c>
      <c r="E44" s="9"/>
      <c r="F44" s="4" t="s">
        <v>5</v>
      </c>
      <c r="G44" s="4" t="s">
        <v>15</v>
      </c>
      <c r="H44" s="4" t="s">
        <v>16</v>
      </c>
      <c r="I44" s="4" t="s">
        <v>17</v>
      </c>
      <c r="J44" s="16" t="s">
        <v>38</v>
      </c>
      <c r="K44" s="4" t="s">
        <v>19</v>
      </c>
    </row>
    <row r="45" spans="3:11">
      <c r="C45" s="7" t="s">
        <v>20</v>
      </c>
      <c r="D45" s="4" t="str">
        <f>DEC2HEX(255,2)</f>
        <v>FF</v>
      </c>
      <c r="E45" s="4" t="str">
        <f>DEC2HEX(255,2)</f>
        <v>FF</v>
      </c>
      <c r="F45" s="4" t="str">
        <f>DEC2HEX(G39,2)</f>
        <v>01</v>
      </c>
      <c r="G45" s="4" t="str">
        <f>DEC2HEX(4,2)</f>
        <v>04</v>
      </c>
      <c r="H45" s="4" t="str">
        <f>DEC2HEX(G40,2)</f>
        <v>02</v>
      </c>
      <c r="I45" s="4" t="str">
        <f>DEC2HEX(G41,2)</f>
        <v>28</v>
      </c>
      <c r="J45" s="4" t="str">
        <f>DEC2HEX(G42,2)</f>
        <v>00</v>
      </c>
      <c r="K45" s="4" t="str">
        <f>DEC2HEX(_xlfn.BITXOR(_xlfn.BITAND(SUM(F46+G46+H46+I46+J46),255),255),2)</f>
        <v>D0</v>
      </c>
    </row>
    <row r="46" spans="3:11">
      <c r="C46" s="4" t="s">
        <v>21</v>
      </c>
      <c r="D46" s="4">
        <f t="shared" ref="D46:K46" si="3">HEX2DEC(D45)</f>
        <v>255</v>
      </c>
      <c r="E46" s="4">
        <f t="shared" si="3"/>
        <v>255</v>
      </c>
      <c r="F46" s="4">
        <f t="shared" si="3"/>
        <v>1</v>
      </c>
      <c r="G46" s="4">
        <f t="shared" si="3"/>
        <v>4</v>
      </c>
      <c r="H46" s="4">
        <f t="shared" si="3"/>
        <v>2</v>
      </c>
      <c r="I46" s="4">
        <f t="shared" si="3"/>
        <v>40</v>
      </c>
      <c r="J46" s="4">
        <f t="shared" si="3"/>
        <v>0</v>
      </c>
      <c r="K46" s="4">
        <f t="shared" si="3"/>
        <v>208</v>
      </c>
    </row>
    <row r="47" ht="18" customHeight="1" spans="3:11">
      <c r="C47" s="10" t="s">
        <v>22</v>
      </c>
      <c r="D47" s="10" t="str">
        <f>CONCATENATE(D45," ",E45," ",F45," ",G45," ",H45," ",I45," ",J45," ",K45,)</f>
        <v>FF FF 01 04 02 28 00 D0</v>
      </c>
      <c r="E47" s="10"/>
      <c r="F47" s="10"/>
      <c r="G47" s="10"/>
      <c r="H47" s="10"/>
      <c r="I47" s="10"/>
      <c r="J47" s="10"/>
      <c r="K47" s="10"/>
    </row>
    <row r="48" ht="15.6" customHeight="1" spans="3:11">
      <c r="C48" s="12"/>
      <c r="D48" s="12"/>
      <c r="E48" s="12"/>
      <c r="F48" s="12"/>
      <c r="G48" s="12"/>
      <c r="H48" s="12"/>
      <c r="I48" s="12"/>
      <c r="J48" s="12"/>
      <c r="K48" s="12"/>
    </row>
    <row r="49" ht="15.6" customHeight="1" spans="3:11">
      <c r="C49" s="12"/>
      <c r="D49" s="12"/>
      <c r="E49" s="12"/>
      <c r="F49" s="12"/>
      <c r="G49" s="12"/>
      <c r="H49" s="12"/>
      <c r="I49" s="12"/>
      <c r="J49" s="12"/>
      <c r="K49" s="12"/>
    </row>
    <row r="50" spans="8:9">
      <c r="H50" s="3" t="s">
        <v>1</v>
      </c>
      <c r="I50" s="3"/>
    </row>
    <row r="51" spans="5:9">
      <c r="E51" s="4" t="s">
        <v>2</v>
      </c>
      <c r="F51" s="4"/>
      <c r="G51" s="4" t="s">
        <v>24</v>
      </c>
      <c r="H51" s="3" t="s">
        <v>4</v>
      </c>
      <c r="I51" s="3"/>
    </row>
    <row r="52" spans="5:9">
      <c r="E52" s="5" t="s">
        <v>5</v>
      </c>
      <c r="F52" s="5"/>
      <c r="G52" s="6">
        <v>2</v>
      </c>
      <c r="H52" s="3" t="s">
        <v>39</v>
      </c>
      <c r="I52" s="3"/>
    </row>
    <row r="53" spans="5:7">
      <c r="E53" s="5" t="s">
        <v>25</v>
      </c>
      <c r="F53" s="5"/>
      <c r="G53" s="6">
        <v>3</v>
      </c>
    </row>
    <row r="54" spans="5:9">
      <c r="E54" s="5" t="s">
        <v>40</v>
      </c>
      <c r="F54" s="5"/>
      <c r="G54" s="6">
        <v>509</v>
      </c>
      <c r="H54" s="3" t="s">
        <v>41</v>
      </c>
      <c r="I54" s="3" t="s">
        <v>42</v>
      </c>
    </row>
    <row r="55" spans="5:9">
      <c r="E55" s="5" t="s">
        <v>43</v>
      </c>
      <c r="F55" s="5"/>
      <c r="G55" s="6">
        <v>0</v>
      </c>
      <c r="I55" s="1" t="s">
        <v>44</v>
      </c>
    </row>
    <row r="56" spans="5:9">
      <c r="E56" s="5" t="s">
        <v>45</v>
      </c>
      <c r="F56" s="5"/>
      <c r="G56" s="6">
        <v>1000</v>
      </c>
      <c r="I56" s="1" t="s">
        <v>46</v>
      </c>
    </row>
    <row r="57" spans="6:6">
      <c r="F57" s="13"/>
    </row>
    <row r="59" ht="26.4" spans="3:16">
      <c r="C59" s="7" t="s">
        <v>47</v>
      </c>
      <c r="D59" s="8" t="s">
        <v>14</v>
      </c>
      <c r="E59" s="9"/>
      <c r="F59" s="4" t="s">
        <v>5</v>
      </c>
      <c r="G59" s="4" t="s">
        <v>15</v>
      </c>
      <c r="H59" s="4" t="s">
        <v>16</v>
      </c>
      <c r="I59" s="4" t="s">
        <v>17</v>
      </c>
      <c r="J59" s="17" t="s">
        <v>48</v>
      </c>
      <c r="K59" s="17" t="s">
        <v>49</v>
      </c>
      <c r="L59" s="18" t="s">
        <v>50</v>
      </c>
      <c r="M59" s="18" t="s">
        <v>51</v>
      </c>
      <c r="N59" s="18" t="s">
        <v>52</v>
      </c>
      <c r="O59" s="18" t="s">
        <v>53</v>
      </c>
      <c r="P59" s="4" t="s">
        <v>19</v>
      </c>
    </row>
    <row r="60" spans="3:16">
      <c r="C60" s="7" t="s">
        <v>20</v>
      </c>
      <c r="D60" s="4" t="str">
        <f>DEC2HEX(255,2)</f>
        <v>FF</v>
      </c>
      <c r="E60" s="4" t="str">
        <f>DEC2HEX(255,2)</f>
        <v>FF</v>
      </c>
      <c r="F60" s="4" t="str">
        <f>DEC2HEX(G52,2)</f>
        <v>02</v>
      </c>
      <c r="G60" s="4" t="str">
        <f>DEC2HEX(9,2)</f>
        <v>09</v>
      </c>
      <c r="H60" s="4" t="str">
        <f>DEC2HEX(G53,2)</f>
        <v>03</v>
      </c>
      <c r="I60" s="4" t="str">
        <f>DEC2HEX(42,2)</f>
        <v>2A</v>
      </c>
      <c r="J60" s="4" t="str">
        <f>DEC2HEX(_xlfn.BITRSHIFT(G54,8),2)</f>
        <v>01</v>
      </c>
      <c r="K60" s="4" t="str">
        <f>DEC2HEX(_xlfn.BITAND(G54,255),2)</f>
        <v>FD</v>
      </c>
      <c r="L60" s="4" t="str">
        <f>DEC2HEX(_xlfn.BITRSHIFT(G55,8),2)</f>
        <v>00</v>
      </c>
      <c r="M60" s="4" t="str">
        <f>DEC2HEX(_xlfn.BITAND(G55,255),2)</f>
        <v>00</v>
      </c>
      <c r="N60" s="4" t="str">
        <f>DEC2HEX(_xlfn.BITRSHIFT(G56,8),2)</f>
        <v>03</v>
      </c>
      <c r="O60" s="4" t="str">
        <f>DEC2HEX(_xlfn.BITAND(G56,255),2)</f>
        <v>E8</v>
      </c>
      <c r="P60" s="4" t="str">
        <f>DEC2HEX(_xlfn.BITXOR(_xlfn.BITAND(SUM(F61+G61+H61+I61+J61+K61+L61+M61+N61+O61),255),255),2)</f>
        <v>DE</v>
      </c>
    </row>
    <row r="61" spans="3:16">
      <c r="C61" s="4" t="s">
        <v>21</v>
      </c>
      <c r="D61" s="4">
        <f t="shared" ref="D61:P61" si="4">HEX2DEC(D60)</f>
        <v>255</v>
      </c>
      <c r="E61" s="4">
        <f t="shared" si="4"/>
        <v>255</v>
      </c>
      <c r="F61" s="4">
        <f t="shared" si="4"/>
        <v>2</v>
      </c>
      <c r="G61" s="4">
        <f t="shared" si="4"/>
        <v>9</v>
      </c>
      <c r="H61" s="4">
        <f t="shared" si="4"/>
        <v>3</v>
      </c>
      <c r="I61" s="4">
        <f t="shared" si="4"/>
        <v>42</v>
      </c>
      <c r="J61" s="4">
        <f t="shared" si="4"/>
        <v>1</v>
      </c>
      <c r="K61" s="4">
        <f t="shared" si="4"/>
        <v>253</v>
      </c>
      <c r="L61" s="4">
        <f t="shared" si="4"/>
        <v>0</v>
      </c>
      <c r="M61" s="4">
        <f t="shared" si="4"/>
        <v>0</v>
      </c>
      <c r="N61" s="4">
        <f t="shared" si="4"/>
        <v>3</v>
      </c>
      <c r="O61" s="4">
        <f t="shared" si="4"/>
        <v>232</v>
      </c>
      <c r="P61" s="4">
        <f t="shared" si="4"/>
        <v>222</v>
      </c>
    </row>
    <row r="62" spans="3:16">
      <c r="C62" s="10" t="s">
        <v>22</v>
      </c>
      <c r="D62" s="14" t="str">
        <f>CONCATENATE(D60," ",E60," ",F60," ",G60," ",H60," ",I60," ",J60," ",K60," ",L60," ",M60," ",N60," ",O60," ",P60)</f>
        <v>FF FF 02 09 03 2A 01 FD 00 00 03 E8 DE</v>
      </c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</row>
    <row r="67" spans="5:9">
      <c r="E67" s="2" t="s">
        <v>54</v>
      </c>
      <c r="F67" s="2"/>
      <c r="G67" s="2"/>
      <c r="H67" s="3" t="s">
        <v>1</v>
      </c>
      <c r="I67" s="3"/>
    </row>
    <row r="68" spans="5:9">
      <c r="E68" s="4" t="s">
        <v>2</v>
      </c>
      <c r="F68" s="4"/>
      <c r="G68" s="4" t="s">
        <v>24</v>
      </c>
      <c r="H68" s="3" t="s">
        <v>4</v>
      </c>
      <c r="I68" s="3" t="s">
        <v>30</v>
      </c>
    </row>
    <row r="69" spans="5:9">
      <c r="E69" s="5" t="s">
        <v>5</v>
      </c>
      <c r="F69" s="5"/>
      <c r="G69" s="6">
        <v>1</v>
      </c>
      <c r="H69" s="3" t="s">
        <v>6</v>
      </c>
      <c r="I69" s="3" t="s">
        <v>6</v>
      </c>
    </row>
    <row r="70" spans="5:7">
      <c r="E70" s="5" t="s">
        <v>25</v>
      </c>
      <c r="F70" s="5"/>
      <c r="G70" s="6">
        <v>2</v>
      </c>
    </row>
    <row r="71" spans="5:9">
      <c r="E71" s="5" t="s">
        <v>26</v>
      </c>
      <c r="F71" s="5"/>
      <c r="G71" s="6">
        <v>56</v>
      </c>
      <c r="H71" s="3"/>
      <c r="I71" s="3"/>
    </row>
    <row r="72" spans="5:7">
      <c r="E72" s="5" t="s">
        <v>55</v>
      </c>
      <c r="F72" s="5"/>
      <c r="G72" s="6">
        <v>2</v>
      </c>
    </row>
    <row r="73" ht="31.2" customHeight="1" spans="3:11">
      <c r="C73" s="2" t="s">
        <v>54</v>
      </c>
      <c r="D73" s="2"/>
      <c r="E73" s="2"/>
      <c r="F73" s="2"/>
      <c r="G73" s="2"/>
      <c r="H73" s="2"/>
      <c r="I73" s="2"/>
      <c r="J73" s="2"/>
      <c r="K73" s="2"/>
    </row>
    <row r="74" spans="3:11">
      <c r="C74" s="7" t="s">
        <v>47</v>
      </c>
      <c r="D74" s="8" t="s">
        <v>14</v>
      </c>
      <c r="E74" s="9"/>
      <c r="F74" s="4" t="s">
        <v>5</v>
      </c>
      <c r="G74" s="4" t="s">
        <v>15</v>
      </c>
      <c r="H74" s="4" t="s">
        <v>16</v>
      </c>
      <c r="I74" s="4" t="s">
        <v>17</v>
      </c>
      <c r="J74" s="15" t="s">
        <v>55</v>
      </c>
      <c r="K74" s="4" t="s">
        <v>19</v>
      </c>
    </row>
    <row r="75" spans="3:11">
      <c r="C75" s="7" t="s">
        <v>20</v>
      </c>
      <c r="D75" s="4" t="str">
        <f>DEC2HEX(255,2)</f>
        <v>FF</v>
      </c>
      <c r="E75" s="4" t="str">
        <f>DEC2HEX(255,2)</f>
        <v>FF</v>
      </c>
      <c r="F75" s="4" t="str">
        <f>DEC2HEX(G69,2)</f>
        <v>01</v>
      </c>
      <c r="G75" s="4" t="str">
        <f>DEC2HEX(4,2)</f>
        <v>04</v>
      </c>
      <c r="H75" s="4" t="str">
        <f>DEC2HEX(G70,2)</f>
        <v>02</v>
      </c>
      <c r="I75" s="4" t="str">
        <f>DEC2HEX(G71,2)</f>
        <v>38</v>
      </c>
      <c r="J75" s="4" t="str">
        <f>DEC2HEX(G72,2)</f>
        <v>02</v>
      </c>
      <c r="K75" s="4" t="str">
        <f>DEC2HEX(_xlfn.BITXOR(_xlfn.BITAND(SUM(F76+G76+H76+I76+J76),255),255),2)</f>
        <v>BE</v>
      </c>
    </row>
    <row r="76" spans="3:11">
      <c r="C76" s="4" t="s">
        <v>21</v>
      </c>
      <c r="D76" s="4">
        <f t="shared" ref="D76:K76" si="5">HEX2DEC(D75)</f>
        <v>255</v>
      </c>
      <c r="E76" s="4">
        <f t="shared" si="5"/>
        <v>255</v>
      </c>
      <c r="F76" s="4">
        <f t="shared" si="5"/>
        <v>1</v>
      </c>
      <c r="G76" s="4">
        <f t="shared" si="5"/>
        <v>4</v>
      </c>
      <c r="H76" s="4">
        <f t="shared" si="5"/>
        <v>2</v>
      </c>
      <c r="I76" s="4">
        <f t="shared" si="5"/>
        <v>56</v>
      </c>
      <c r="J76" s="4">
        <f t="shared" si="5"/>
        <v>2</v>
      </c>
      <c r="K76" s="4">
        <f t="shared" si="5"/>
        <v>190</v>
      </c>
    </row>
    <row r="77" ht="18" customHeight="1" spans="3:11">
      <c r="C77" s="10" t="s">
        <v>22</v>
      </c>
      <c r="D77" s="19" t="str">
        <f>CONCATENATE(D75," ",E75," ",F75," ",G75," ",H75," ",I75," ",J75," ",K75,)</f>
        <v>FF FF 01 04 02 38 02 BE</v>
      </c>
      <c r="E77" s="19"/>
      <c r="F77" s="19"/>
      <c r="G77" s="19"/>
      <c r="H77" s="19"/>
      <c r="I77" s="19"/>
      <c r="J77" s="19"/>
      <c r="K77" s="19"/>
    </row>
  </sheetData>
  <mergeCells count="56">
    <mergeCell ref="E1:G1"/>
    <mergeCell ref="H1:I1"/>
    <mergeCell ref="E2:F2"/>
    <mergeCell ref="E3:F3"/>
    <mergeCell ref="E4:F4"/>
    <mergeCell ref="E5:F5"/>
    <mergeCell ref="E6:F6"/>
    <mergeCell ref="C7:K7"/>
    <mergeCell ref="D8:E8"/>
    <mergeCell ref="E12:G12"/>
    <mergeCell ref="H12:I12"/>
    <mergeCell ref="E13:F13"/>
    <mergeCell ref="E14:F14"/>
    <mergeCell ref="E15:F15"/>
    <mergeCell ref="E16:F16"/>
    <mergeCell ref="E17:F17"/>
    <mergeCell ref="C18:K18"/>
    <mergeCell ref="D19:E19"/>
    <mergeCell ref="E24:G24"/>
    <mergeCell ref="H24:I24"/>
    <mergeCell ref="E25:F25"/>
    <mergeCell ref="H25:I25"/>
    <mergeCell ref="E26:F26"/>
    <mergeCell ref="E27:F27"/>
    <mergeCell ref="E28:F28"/>
    <mergeCell ref="E29:F29"/>
    <mergeCell ref="C30:K30"/>
    <mergeCell ref="D31:E31"/>
    <mergeCell ref="E37:G37"/>
    <mergeCell ref="H37:I37"/>
    <mergeCell ref="E38:F38"/>
    <mergeCell ref="H38:I38"/>
    <mergeCell ref="E39:F39"/>
    <mergeCell ref="E40:F40"/>
    <mergeCell ref="E41:F41"/>
    <mergeCell ref="E42:F42"/>
    <mergeCell ref="C43:K43"/>
    <mergeCell ref="D44:E44"/>
    <mergeCell ref="H50:I50"/>
    <mergeCell ref="E51:F51"/>
    <mergeCell ref="E52:F52"/>
    <mergeCell ref="E53:F53"/>
    <mergeCell ref="E54:F54"/>
    <mergeCell ref="E55:F55"/>
    <mergeCell ref="E56:F56"/>
    <mergeCell ref="D59:E59"/>
    <mergeCell ref="D62:P62"/>
    <mergeCell ref="E67:G67"/>
    <mergeCell ref="H67:I67"/>
    <mergeCell ref="E68:F68"/>
    <mergeCell ref="E69:F69"/>
    <mergeCell ref="E70:F70"/>
    <mergeCell ref="E71:F71"/>
    <mergeCell ref="E72:F72"/>
    <mergeCell ref="C73:K73"/>
    <mergeCell ref="D74:E7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Hexadecimal instruction generat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rcfan</cp:lastModifiedBy>
  <dcterms:created xsi:type="dcterms:W3CDTF">2020-06-05T01:28:00Z</dcterms:created>
  <dcterms:modified xsi:type="dcterms:W3CDTF">2020-06-05T01:56:57Z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</Properties>
</file>